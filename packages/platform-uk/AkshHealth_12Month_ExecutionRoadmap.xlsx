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-Month Roadmap" sheetId="1" r:id="rId5"/>
    <sheet state="visible" name="Critical Path" sheetId="2" r:id="rId6"/>
    <sheet state="visible" name="M1 Weekly Detail" sheetId="3" r:id="rId7"/>
    <sheet state="visible" name="12-Month Budget" sheetId="4" r:id="rId8"/>
  </sheets>
  <definedNames/>
  <calcPr/>
</workbook>
</file>

<file path=xl/sharedStrings.xml><?xml version="1.0" encoding="utf-8"?>
<sst xmlns="http://schemas.openxmlformats.org/spreadsheetml/2006/main" count="290" uniqueCount="221">
  <si>
    <t>🚀 AKSH HEALTH UK/EUROPE — 12-MONTH EXECUTION ROADMAP (M1-M12)</t>
  </si>
  <si>
    <t>April 2026 - March 2027 | Budget: £1,180K | Team Size: 18 FTE</t>
  </si>
  <si>
    <t>Month</t>
  </si>
  <si>
    <t>Phase</t>
  </si>
  <si>
    <t>Primary Deliverable</t>
  </si>
  <si>
    <t>Owner</t>
  </si>
  <si>
    <t>Budget (£K)</t>
  </si>
  <si>
    <t>Team</t>
  </si>
  <si>
    <t>Validation Gate</t>
  </si>
  <si>
    <t>Status</t>
  </si>
  <si>
    <t>M1 (Apr 26)</t>
  </si>
  <si>
    <t>1A</t>
  </si>
  <si>
    <t>AWS EKS + FHIR PoC + CSO Hire</t>
  </si>
  <si>
    <t>CTO + CEO</t>
  </si>
  <si>
    <t>6</t>
  </si>
  <si>
    <t>Infrastructure ready + CSO onboard</t>
  </si>
  <si>
    <t>🔴 CRITICAL</t>
  </si>
  <si>
    <t>M2 (May 26)</t>
  </si>
  <si>
    <t>1B</t>
  </si>
  <si>
    <t>SYNTHESIS + DrASSIST Agents (LangGraph)</t>
  </si>
  <si>
    <t>AI/ML + Frontend</t>
  </si>
  <si>
    <t>8</t>
  </si>
  <si>
    <t>50 synthetic encounters processed</t>
  </si>
  <si>
    <t>Planned</t>
  </si>
  <si>
    <t>M3 (Jun 26)</t>
  </si>
  <si>
    <t>1C</t>
  </si>
  <si>
    <t>Voice Layer + JSL NLP Integration</t>
  </si>
  <si>
    <t>Frontend + AI/ML</t>
  </si>
  <si>
    <t>Voice SOAP generation &lt;3.5min</t>
  </si>
  <si>
    <t>M4 (Jul 26)</t>
  </si>
  <si>
    <t>1D</t>
  </si>
  <si>
    <t>SHIELD + EQUITY Agents + Graph DB</t>
  </si>
  <si>
    <t>AI/ML + CSO</t>
  </si>
  <si>
    <t>Safety validation 0 missed alerts</t>
  </si>
  <si>
    <t>M5 (Aug 26)</t>
  </si>
  <si>
    <t>1E</t>
  </si>
  <si>
    <t>Phase 1 Validation Complete</t>
  </si>
  <si>
    <t>QA + Clinical</t>
  </si>
  <si>
    <t>DrASSIST F1≥0.82, Triage accuracy ≥90%</t>
  </si>
  <si>
    <t>M6 (Sep 26)</t>
  </si>
  <si>
    <t>1F</t>
  </si>
  <si>
    <t>DCB0129 Safety Case Draft + NHS Partners Engaged</t>
  </si>
  <si>
    <t>CSO + CEO</t>
  </si>
  <si>
    <t>DTAC pre-submission approved</t>
  </si>
  <si>
    <t>M7 (Oct 26)</t>
  </si>
  <si>
    <t>2A</t>
  </si>
  <si>
    <t>EMIS Web Integration + 3 GP Pilot Sites Selected</t>
  </si>
  <si>
    <t>CTO + NHS BD</t>
  </si>
  <si>
    <t>EMIS sandbox testing passed</t>
  </si>
  <si>
    <t>M8 (Nov 26)</t>
  </si>
  <si>
    <t>2B</t>
  </si>
  <si>
    <t>VOICE Agent (Ambient Docs) + SystmOne prep</t>
  </si>
  <si>
    <t>SOAP auto-generation &gt;85% accuracy</t>
  </si>
  <si>
    <t>M9 (Dec 26)</t>
  </si>
  <si>
    <t>2C</t>
  </si>
  <si>
    <t>IntelliProve Integration + Mental Health Bundle</t>
  </si>
  <si>
    <t>Frontend + Product</t>
  </si>
  <si>
    <t>Biomarker FHIR schema validated</t>
  </si>
  <si>
    <t>M10 (Jan 27)</t>
  </si>
  <si>
    <t>2D</t>
  </si>
  <si>
    <t>3 ICS Pilots Launch + ORACLE Agent MVP</t>
  </si>
  <si>
    <t>NHS BD + AI/ML</t>
  </si>
  <si>
    <t>10</t>
  </si>
  <si>
    <t>150 clinicians trained, 5K patients</t>
  </si>
  <si>
    <t>M11 (Feb 27)</t>
  </si>
  <si>
    <t>2E</t>
  </si>
  <si>
    <t>Federated Learning Architecture + RWE pipeline</t>
  </si>
  <si>
    <t>AI/ML + DevOps</t>
  </si>
  <si>
    <t>3-node model design approved</t>
  </si>
  <si>
    <t>M12 (Mar 27)</t>
  </si>
  <si>
    <t>2F</t>
  </si>
  <si>
    <t>DCB0129 Safety Case Submission Ready + NHS App prep</t>
  </si>
  <si>
    <t>CSO + CTO</t>
  </si>
  <si>
    <t>DTAC approval + MHRA pathway open</t>
  </si>
  <si>
    <t>🔴 CRITICAL PATH — M1-M12 Programme Blockers</t>
  </si>
  <si>
    <t>Timeline</t>
  </si>
  <si>
    <t>Priority</t>
  </si>
  <si>
    <t>Blocker</t>
  </si>
  <si>
    <t>Impact if Missed</t>
  </si>
  <si>
    <t>Week 1 (Apr 1)</t>
  </si>
  <si>
    <t>Hire Clinical Safety Officer (GMC/NMC/GPhC registered)</t>
  </si>
  <si>
    <t>CEO</t>
  </si>
  <si>
    <t>No CSO = entire programme blocked by DCB0129 requirement</t>
  </si>
  <si>
    <t>Week 2 (Apr 8)</t>
  </si>
  <si>
    <t>Apply to EMIS Web Partner Programme</t>
  </si>
  <si>
    <t>CTO</t>
  </si>
  <si>
    <t>3-4 month pipeline; delay blocks M7 EMIS integration</t>
  </si>
  <si>
    <t>Week 3 (Apr 15)</t>
  </si>
  <si>
    <t>Engage DTAC/DCB0129 regulatory consultant (£120K/yr)</t>
  </si>
  <si>
    <t>Missed engagement = 6 month regulatory delay</t>
  </si>
  <si>
    <t>Week 4 (Apr 22)</t>
  </si>
  <si>
    <t>🟠 HIGH</t>
  </si>
  <si>
    <t>AWS EKS London setup + load 100 Synthea patients</t>
  </si>
  <si>
    <t>Foundation for all downstream agents</t>
  </si>
  <si>
    <t>M2 (May 1)</t>
  </si>
  <si>
    <t>LangGraph SYNTHESIS agent operational</t>
  </si>
  <si>
    <t>AI/ML Lead</t>
  </si>
  <si>
    <t>Blocks DrASSIST, SHIELD, ORACLE agents</t>
  </si>
  <si>
    <t>M2 (May 15)</t>
  </si>
  <si>
    <t>John Snow Labs NLP license signed</t>
  </si>
  <si>
    <t>8-week integration cycle; delays clinical accuracy M4</t>
  </si>
  <si>
    <t>M3 (Jun 1)</t>
  </si>
  <si>
    <t>Deepgram Medical ASR + ElevenLabs TTS integrated</t>
  </si>
  <si>
    <t>Frontend</t>
  </si>
  <si>
    <t>Blocks voice-first workflows M3-M4</t>
  </si>
  <si>
    <t>M4 (Jul 1)</t>
  </si>
  <si>
    <t>Neo4j + Weaviate knowledge graph schema validated</t>
  </si>
  <si>
    <t>Foundations for ORACLE, federated learning M11</t>
  </si>
  <si>
    <t>M5 (Aug 15)</t>
  </si>
  <si>
    <t>🟡 MEDIUM</t>
  </si>
  <si>
    <t>Phase 1 validation gates passed (F1≥0.82, safety 0 missed)</t>
  </si>
  <si>
    <t>QA Lead</t>
  </si>
  <si>
    <t>Gates Series A evidence; remediation = 4 weeks</t>
  </si>
  <si>
    <t>M6 (Sep 15)</t>
  </si>
  <si>
    <t>DCB0129 Hazard Log complete for DTAC pre-submission</t>
  </si>
  <si>
    <t>CSO</t>
  </si>
  <si>
    <t>Missed = 2 month regulatory slip M6→M8</t>
  </si>
  <si>
    <t>M7 (Oct 1)</t>
  </si>
  <si>
    <t>EMIS Web API sandbox testing passed (vendor approval)</t>
  </si>
  <si>
    <t>Blocks GP practice integration M7-M8</t>
  </si>
  <si>
    <t>M10 (Jan 15)</t>
  </si>
  <si>
    <t>3 ICS pilot sites fully trained &amp; live with real patients</t>
  </si>
  <si>
    <t>NHS BD</t>
  </si>
  <si>
    <t>Real-world data validation; blocks scale-up M16</t>
  </si>
  <si>
    <t>M12 (Mar 1)</t>
  </si>
  <si>
    <t>DCB0129 Safety Case submission ready (500+ page dossier)</t>
  </si>
  <si>
    <t>Miss = MHRA pathway delayed 6 months</t>
  </si>
  <si>
    <t>🗓️ M1 (APRIL 2026) — Week-by-Week Critical Path</t>
  </si>
  <si>
    <t>Week</t>
  </si>
  <si>
    <t>Day</t>
  </si>
  <si>
    <t>Deliverable</t>
  </si>
  <si>
    <t>Done When...</t>
  </si>
  <si>
    <t>Week 1
Apr 1-5</t>
  </si>
  <si>
    <t>Day 1</t>
  </si>
  <si>
    <t>CSO Job Spec Finalized + RCGP reach-out begins</t>
  </si>
  <si>
    <t>1 candidate identified</t>
  </si>
  <si>
    <t>Day 2</t>
  </si>
  <si>
    <t>EMIS Web Partner Programme application submitted</t>
  </si>
  <si>
    <t>Formal acknowledgment from EMIS</t>
  </si>
  <si>
    <t>Day 3</t>
  </si>
  <si>
    <t>DTAC/DCB0129 Regulatory Consultant engaged (signed contract)</t>
  </si>
  <si>
    <t>Consultant on-boarded, kickoff call</t>
  </si>
  <si>
    <t>Day 4</t>
  </si>
  <si>
    <t>AWS London EKS cluster creation + RDS setup</t>
  </si>
  <si>
    <t>CTO + DevOps</t>
  </si>
  <si>
    <t>Cluster accessible, security groups HIPAA-ready</t>
  </si>
  <si>
    <t>Day 5</t>
  </si>
  <si>
    <t>100 Synthea patient records loaded to test data lake</t>
  </si>
  <si>
    <t>DevOps + QA</t>
  </si>
  <si>
    <t>Data ingestion validated</t>
  </si>
  <si>
    <t>Week 2
Apr 8-12</t>
  </si>
  <si>
    <t>Day 6</t>
  </si>
  <si>
    <t>Medplum FHIR server deployed on EKS (sandbox)</t>
  </si>
  <si>
    <t>CTO + AI/ML</t>
  </si>
  <si>
    <t>FHIR /Patient and /Observation endpoints live</t>
  </si>
  <si>
    <t>Day 7-8</t>
  </si>
  <si>
    <t>LangGraph SYNTHESIS agent skeleton + Claude Sonnet 4 integration</t>
  </si>
  <si>
    <t>Agents repo ready for M2 sprint</t>
  </si>
  <si>
    <t>Day 9</t>
  </si>
  <si>
    <t>CSO final interview round (target hire by end of week)</t>
  </si>
  <si>
    <t>CEO + CTO</t>
  </si>
  <si>
    <t>Offer extended to selected candidate</t>
  </si>
  <si>
    <t>Week 3
Apr 15-19</t>
  </si>
  <si>
    <t>Day 10</t>
  </si>
  <si>
    <t>SYNTHESIS agent: voice input → FHIR Observation creation</t>
  </si>
  <si>
    <t>End-to-end flow POC (10 test cases)</t>
  </si>
  <si>
    <t>Day 11</t>
  </si>
  <si>
    <t>Hazard Log template created per IEC 62304</t>
  </si>
  <si>
    <t>CSO + Reg Consultant</t>
  </si>
  <si>
    <t>v0.1 Hazard Log framework</t>
  </si>
  <si>
    <t>Day 12</t>
  </si>
  <si>
    <t>EMIS Web API sandbox access confirmed</t>
  </si>
  <si>
    <t>Credentials received, documentation reviewed</t>
  </si>
  <si>
    <t>Week 4
Apr 22-26</t>
  </si>
  <si>
    <t>Day 13</t>
  </si>
  <si>
    <t>CSO onboarded + safety committee established</t>
  </si>
  <si>
    <t>First safety review board meeting scheduled</t>
  </si>
  <si>
    <t>Day 14</t>
  </si>
  <si>
    <t>SYNTHESIS agent: FHIR → SOAP note generation</t>
  </si>
  <si>
    <t>AI/ML</t>
  </si>
  <si>
    <t>SOAP template + CDS Hooks integration ready M2</t>
  </si>
  <si>
    <t>Day 15</t>
  </si>
  <si>
    <t>Deepgram Medical API + ElevenLabs TTS contracts signed</t>
  </si>
  <si>
    <t>Product</t>
  </si>
  <si>
    <t>API keys provisioned, sandbox access live</t>
  </si>
  <si>
    <t>💰 12-MONTH BUDGET ALLOCATION (£1,180K total)</t>
  </si>
  <si>
    <t>Category</t>
  </si>
  <si>
    <t>Item</t>
  </si>
  <si>
    <t>Total (£K)</t>
  </si>
  <si>
    <t>Months</t>
  </si>
  <si>
    <t>Monthly (£K)</t>
  </si>
  <si>
    <t>Personnel</t>
  </si>
  <si>
    <t>Engineering (5 FTE)</t>
  </si>
  <si>
    <t>AI/ML (3 FTE)</t>
  </si>
  <si>
    <t>Frontend (2 FTE)</t>
  </si>
  <si>
    <t>DevOps + QA (2 FTE)</t>
  </si>
  <si>
    <t>CSO / Clinical (1 FTE)</t>
  </si>
  <si>
    <t>NHS Business Dev (1 FTE)</t>
  </si>
  <si>
    <t>Regulatory</t>
  </si>
  <si>
    <t>DCB0129 + DTAC Consultant</t>
  </si>
  <si>
    <t>ISO 27001 + DSPT compliance</t>
  </si>
  <si>
    <t>Cloud</t>
  </si>
  <si>
    <t>AWS EKS + RDS London</t>
  </si>
  <si>
    <t>Data egress + backup</t>
  </si>
  <si>
    <t>APIs &amp; Licenses</t>
  </si>
  <si>
    <t>John Snow Labs NLP (annual)</t>
  </si>
  <si>
    <t>Deepgram Medical ASR</t>
  </si>
  <si>
    <t>ElevenLabs TTS</t>
  </si>
  <si>
    <t>Claude API + GPT-4.1</t>
  </si>
  <si>
    <t>Infrastructure</t>
  </si>
  <si>
    <t>Neo4j Enterprise</t>
  </si>
  <si>
    <t>Weaviate Cloud</t>
  </si>
  <si>
    <t>Mirth Connect licensing</t>
  </si>
  <si>
    <t>Clinical</t>
  </si>
  <si>
    <t>3 GP Pilot sites (training + support)</t>
  </si>
  <si>
    <t>Phase 1 validation studies</t>
  </si>
  <si>
    <t>Commercial</t>
  </si>
  <si>
    <t>EMIS + SystmOne partner engagement</t>
  </si>
  <si>
    <t>Contingency</t>
  </si>
  <si>
    <t>Risk buffer (10%)</t>
  </si>
  <si>
    <t>TOTAL 12-MONTH 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</si>
</sst>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Calibri"/>
    </font>
    <font/>
    <font>
      <sz val="11.0"/>
      <color rgb="FFFFFFFF"/>
      <name val="Calibri"/>
    </font>
    <font>
      <b/>
      <sz val="11.0"/>
      <color rgb="FFFFFFFF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b/>
      <sz val="12.0"/>
      <color rgb="FFFFFFFF"/>
      <name val="Calibri"/>
    </font>
    <font>
      <b/>
      <color theme="1"/>
      <name val="Calibri"/>
      <scheme val="minor"/>
    </font>
    <font>
      <b/>
      <sz val="10.0"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D47A1"/>
        <bgColor rgb="FF0D47A1"/>
      </patternFill>
    </fill>
    <fill>
      <patternFill patternType="solid">
        <fgColor rgb="FF1976D2"/>
        <bgColor rgb="FF1976D2"/>
      </patternFill>
    </fill>
    <fill>
      <patternFill patternType="solid">
        <fgColor rgb="FFD32F2F"/>
        <bgColor rgb="FFD32F2F"/>
      </patternFill>
    </fill>
    <fill>
      <patternFill patternType="solid">
        <fgColor rgb="FFFFCDD2"/>
        <bgColor rgb="FFFFCDD2"/>
      </patternFill>
    </fill>
    <fill>
      <patternFill patternType="solid">
        <fgColor rgb="FFFFE0B2"/>
        <bgColor rgb="FFFFE0B2"/>
      </patternFill>
    </fill>
    <fill>
      <patternFill patternType="solid">
        <fgColor rgb="FF1B5E20"/>
        <bgColor rgb="FF1B5E20"/>
      </patternFill>
    </fill>
    <fill>
      <patternFill patternType="solid">
        <fgColor rgb="FFE3F2FD"/>
        <bgColor rgb="FFE3F2FD"/>
      </patternFill>
    </fill>
    <fill>
      <patternFill patternType="solid">
        <fgColor rgb="FFFCE4EC"/>
        <bgColor rgb="FFFCE4E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4" fontId="7" numFmtId="0" xfId="0" applyAlignment="1" applyBorder="1" applyFill="1" applyFont="1">
      <alignment shrinkToFit="0" vertical="center" wrapText="1"/>
    </xf>
    <xf borderId="1" fillId="4" fontId="8" numFmtId="0" xfId="0" applyAlignment="1" applyBorder="1" applyFont="1">
      <alignment horizontal="center" vertical="center"/>
    </xf>
    <xf borderId="4" fillId="5" fontId="9" numFmtId="0" xfId="0" applyAlignment="1" applyBorder="1" applyFill="1" applyFont="1">
      <alignment shrinkToFit="0" vertical="top" wrapText="1"/>
    </xf>
    <xf borderId="4" fillId="6" fontId="6" numFmtId="0" xfId="0" applyAlignment="1" applyBorder="1" applyFill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1" fillId="2" fontId="8" numFmtId="0" xfId="0" applyAlignment="1" applyBorder="1" applyFont="1">
      <alignment horizontal="center" vertical="center"/>
    </xf>
    <xf borderId="0" fillId="0" fontId="10" numFmtId="0" xfId="0" applyAlignment="1" applyFont="1">
      <alignment horizontal="left" readingOrder="0" shrinkToFit="0" vertical="center" wrapText="0"/>
    </xf>
    <xf borderId="4" fillId="5" fontId="6" numFmtId="0" xfId="0" applyAlignment="1" applyBorder="1" applyFont="1">
      <alignment shrinkToFit="0" vertical="top" wrapText="1"/>
    </xf>
    <xf borderId="4" fillId="5" fontId="6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1" fillId="7" fontId="8" numFmtId="0" xfId="0" applyAlignment="1" applyBorder="1" applyFill="1" applyFont="1">
      <alignment horizontal="center" vertical="center"/>
    </xf>
    <xf borderId="4" fillId="8" fontId="6" numFmtId="0" xfId="0" applyAlignment="1" applyBorder="1" applyFill="1" applyFont="1">
      <alignment horizontal="left" shrinkToFit="0" vertical="center" wrapText="0"/>
    </xf>
    <xf borderId="4" fillId="8" fontId="6" numFmtId="0" xfId="0" applyAlignment="1" applyBorder="1" applyFont="1">
      <alignment shrinkToFit="0" vertical="center" wrapText="0"/>
    </xf>
    <xf borderId="4" fillId="9" fontId="6" numFmtId="0" xfId="0" applyAlignment="1" applyBorder="1" applyFill="1" applyFont="1">
      <alignment horizontal="left" shrinkToFit="0" vertical="center" wrapText="0"/>
    </xf>
    <xf borderId="4" fillId="9" fontId="6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horizontal="left" shrinkToFit="0" vertical="center" wrapText="0"/>
    </xf>
    <xf borderId="4" fillId="0" fontId="6" numFmtId="0" xfId="0" applyAlignment="1" applyBorder="1" applyFont="1">
      <alignment shrinkToFit="0" vertical="center" wrapText="0"/>
    </xf>
    <xf borderId="1" fillId="7" fontId="4" numFmtId="0" xfId="0" applyBorder="1" applyFont="1"/>
    <xf borderId="5" fillId="7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1 Weekly Deta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-Month Budg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17" displayName="Weekly_Detail_Progress" name="Weekly_Detail_Progress" id="1">
  <tableColumns count="5">
    <tableColumn name="Week" id="1"/>
    <tableColumn name="Day" id="2"/>
    <tableColumn name="Deliverable" id="3"/>
    <tableColumn name="Owner" id="4"/>
    <tableColumn name="Done When..." id="5"/>
  </tableColumns>
  <tableStyleInfo name="M1 Weekly Detail-style" showColumnStripes="0" showFirstColumn="1" showLastColumn="1" showRowStripes="1"/>
</table>
</file>

<file path=xl/tables/table2.xml><?xml version="1.0" encoding="utf-8"?>
<table xmlns="http://schemas.openxmlformats.org/spreadsheetml/2006/main" ref="A3:E24" displayName="Annual_Expense_Breakdown" name="Annual_Expense_Breakdown" id="2">
  <tableColumns count="5">
    <tableColumn name="Category" id="1"/>
    <tableColumn name="Item" id="2"/>
    <tableColumn name="Total (£K)" id="3"/>
    <tableColumn name="Months" id="4"/>
    <tableColumn name="Monthly (£K)" id="5"/>
  </tableColumns>
  <tableStyleInfo name="12-Month Budg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0.0"/>
    <col customWidth="1" min="3" max="3" width="53.29"/>
    <col customWidth="1" min="4" max="4" width="23.0"/>
    <col customWidth="1" min="5" max="5" width="14.29"/>
    <col customWidth="1" min="6" max="6" width="8.0"/>
    <col customWidth="1" min="7" max="7" width="49.71"/>
    <col customWidth="1" min="8" max="8" width="15.57"/>
    <col customWidth="1" min="9" max="26" width="8.71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2"/>
      <c r="C2" s="2"/>
      <c r="D2" s="2"/>
      <c r="E2" s="2"/>
      <c r="F2" s="2"/>
      <c r="G2" s="2"/>
      <c r="H2" s="3"/>
    </row>
    <row r="4" ht="30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>
      <c r="A5" s="6" t="s">
        <v>10</v>
      </c>
      <c r="B5" s="7" t="s">
        <v>11</v>
      </c>
      <c r="C5" s="8" t="s">
        <v>12</v>
      </c>
      <c r="D5" s="8" t="s">
        <v>13</v>
      </c>
      <c r="E5" s="8">
        <v>48.0</v>
      </c>
      <c r="F5" s="8" t="s">
        <v>14</v>
      </c>
      <c r="G5" s="8" t="s">
        <v>15</v>
      </c>
      <c r="H5" s="9" t="s">
        <v>16</v>
      </c>
    </row>
    <row r="6">
      <c r="A6" s="6" t="s">
        <v>17</v>
      </c>
      <c r="B6" s="7" t="s">
        <v>18</v>
      </c>
      <c r="C6" s="8" t="s">
        <v>19</v>
      </c>
      <c r="D6" s="8" t="s">
        <v>20</v>
      </c>
      <c r="E6" s="8">
        <v>36.0</v>
      </c>
      <c r="F6" s="8" t="s">
        <v>21</v>
      </c>
      <c r="G6" s="8" t="s">
        <v>22</v>
      </c>
      <c r="H6" s="8" t="s">
        <v>23</v>
      </c>
    </row>
    <row r="7">
      <c r="A7" s="6" t="s">
        <v>24</v>
      </c>
      <c r="B7" s="7" t="s">
        <v>25</v>
      </c>
      <c r="C7" s="8" t="s">
        <v>26</v>
      </c>
      <c r="D7" s="8" t="s">
        <v>27</v>
      </c>
      <c r="E7" s="6">
        <v>42.0</v>
      </c>
      <c r="F7" s="8" t="s">
        <v>21</v>
      </c>
      <c r="G7" s="8" t="s">
        <v>28</v>
      </c>
      <c r="H7" s="8" t="s">
        <v>23</v>
      </c>
    </row>
    <row r="8">
      <c r="A8" s="6" t="s">
        <v>29</v>
      </c>
      <c r="B8" s="7" t="s">
        <v>30</v>
      </c>
      <c r="C8" s="8" t="s">
        <v>31</v>
      </c>
      <c r="D8" s="8" t="s">
        <v>32</v>
      </c>
      <c r="E8" s="8">
        <v>40.0</v>
      </c>
      <c r="F8" s="8" t="s">
        <v>21</v>
      </c>
      <c r="G8" s="8" t="s">
        <v>33</v>
      </c>
      <c r="H8" s="8" t="s">
        <v>23</v>
      </c>
    </row>
    <row r="9">
      <c r="A9" s="6" t="s">
        <v>34</v>
      </c>
      <c r="B9" s="7" t="s">
        <v>35</v>
      </c>
      <c r="C9" s="8" t="s">
        <v>36</v>
      </c>
      <c r="D9" s="8" t="s">
        <v>37</v>
      </c>
      <c r="E9" s="8">
        <v>30.0</v>
      </c>
      <c r="F9" s="8" t="s">
        <v>14</v>
      </c>
      <c r="G9" s="6" t="s">
        <v>38</v>
      </c>
      <c r="H9" s="8" t="s">
        <v>23</v>
      </c>
    </row>
    <row r="10">
      <c r="A10" s="6" t="s">
        <v>39</v>
      </c>
      <c r="B10" s="7" t="s">
        <v>40</v>
      </c>
      <c r="C10" s="6" t="s">
        <v>41</v>
      </c>
      <c r="D10" s="8" t="s">
        <v>42</v>
      </c>
      <c r="E10" s="8">
        <v>38.0</v>
      </c>
      <c r="F10" s="8" t="s">
        <v>14</v>
      </c>
      <c r="G10" s="8" t="s">
        <v>43</v>
      </c>
      <c r="H10" s="8" t="s">
        <v>23</v>
      </c>
    </row>
    <row r="11">
      <c r="A11" s="6" t="s">
        <v>44</v>
      </c>
      <c r="B11" s="6" t="s">
        <v>45</v>
      </c>
      <c r="C11" s="8" t="s">
        <v>46</v>
      </c>
      <c r="D11" s="8" t="s">
        <v>47</v>
      </c>
      <c r="E11" s="6">
        <v>52.0</v>
      </c>
      <c r="F11" s="8" t="s">
        <v>21</v>
      </c>
      <c r="G11" s="8" t="s">
        <v>48</v>
      </c>
      <c r="H11" s="8" t="s">
        <v>23</v>
      </c>
    </row>
    <row r="12">
      <c r="A12" s="6" t="s">
        <v>49</v>
      </c>
      <c r="B12" s="6" t="s">
        <v>50</v>
      </c>
      <c r="C12" s="8" t="s">
        <v>51</v>
      </c>
      <c r="D12" s="8" t="s">
        <v>20</v>
      </c>
      <c r="E12" s="8">
        <v>44.0</v>
      </c>
      <c r="F12" s="8" t="s">
        <v>21</v>
      </c>
      <c r="G12" s="8" t="s">
        <v>52</v>
      </c>
      <c r="H12" s="8" t="s">
        <v>23</v>
      </c>
    </row>
    <row r="13">
      <c r="A13" s="6" t="s">
        <v>53</v>
      </c>
      <c r="B13" s="6" t="s">
        <v>54</v>
      </c>
      <c r="C13" s="8" t="s">
        <v>55</v>
      </c>
      <c r="D13" s="8" t="s">
        <v>56</v>
      </c>
      <c r="E13" s="6">
        <v>32.0</v>
      </c>
      <c r="F13" s="8" t="s">
        <v>14</v>
      </c>
      <c r="G13" s="8" t="s">
        <v>57</v>
      </c>
      <c r="H13" s="8" t="s">
        <v>23</v>
      </c>
    </row>
    <row r="14">
      <c r="A14" s="6" t="s">
        <v>58</v>
      </c>
      <c r="B14" s="6" t="s">
        <v>59</v>
      </c>
      <c r="C14" s="8" t="s">
        <v>60</v>
      </c>
      <c r="D14" s="8" t="s">
        <v>61</v>
      </c>
      <c r="E14" s="8">
        <v>56.0</v>
      </c>
      <c r="F14" s="8" t="s">
        <v>62</v>
      </c>
      <c r="G14" s="8" t="s">
        <v>63</v>
      </c>
      <c r="H14" s="8" t="s">
        <v>23</v>
      </c>
    </row>
    <row r="15">
      <c r="A15" s="6" t="s">
        <v>64</v>
      </c>
      <c r="B15" s="6" t="s">
        <v>65</v>
      </c>
      <c r="C15" s="8" t="s">
        <v>66</v>
      </c>
      <c r="D15" s="8" t="s">
        <v>67</v>
      </c>
      <c r="E15" s="8">
        <v>48.0</v>
      </c>
      <c r="F15" s="8" t="s">
        <v>21</v>
      </c>
      <c r="G15" s="8" t="s">
        <v>68</v>
      </c>
      <c r="H15" s="8" t="s">
        <v>23</v>
      </c>
    </row>
    <row r="16">
      <c r="A16" s="6" t="s">
        <v>69</v>
      </c>
      <c r="B16" s="6" t="s">
        <v>70</v>
      </c>
      <c r="C16" s="6" t="s">
        <v>71</v>
      </c>
      <c r="D16" s="8" t="s">
        <v>72</v>
      </c>
      <c r="E16" s="8">
        <v>54.0</v>
      </c>
      <c r="F16" s="8" t="s">
        <v>21</v>
      </c>
      <c r="G16" s="8" t="s">
        <v>73</v>
      </c>
      <c r="H16" s="8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2.0"/>
    <col customWidth="1" min="3" max="3" width="61.43"/>
    <col customWidth="1" min="4" max="4" width="14.0"/>
    <col customWidth="1" min="5" max="5" width="64.86"/>
    <col customWidth="1" min="6" max="26" width="8.71"/>
  </cols>
  <sheetData>
    <row r="1">
      <c r="A1" s="10" t="s">
        <v>74</v>
      </c>
      <c r="B1" s="2"/>
      <c r="C1" s="2"/>
      <c r="D1" s="2"/>
      <c r="E1" s="2"/>
      <c r="F1" s="3"/>
    </row>
    <row r="3" ht="24.75" customHeight="1">
      <c r="A3" s="5" t="s">
        <v>75</v>
      </c>
      <c r="B3" s="5" t="s">
        <v>76</v>
      </c>
      <c r="C3" s="5" t="s">
        <v>77</v>
      </c>
      <c r="D3" s="5" t="s">
        <v>5</v>
      </c>
      <c r="E3" s="5" t="s">
        <v>78</v>
      </c>
    </row>
    <row r="4">
      <c r="A4" s="11" t="s">
        <v>79</v>
      </c>
      <c r="B4" s="11" t="s">
        <v>16</v>
      </c>
      <c r="C4" s="11" t="s">
        <v>80</v>
      </c>
      <c r="D4" s="11" t="s">
        <v>81</v>
      </c>
      <c r="E4" s="11" t="s">
        <v>82</v>
      </c>
    </row>
    <row r="5">
      <c r="A5" s="11" t="s">
        <v>83</v>
      </c>
      <c r="B5" s="11" t="s">
        <v>16</v>
      </c>
      <c r="C5" s="11" t="s">
        <v>84</v>
      </c>
      <c r="D5" s="11" t="s">
        <v>85</v>
      </c>
      <c r="E5" s="11" t="s">
        <v>86</v>
      </c>
    </row>
    <row r="6">
      <c r="A6" s="11" t="s">
        <v>87</v>
      </c>
      <c r="B6" s="11" t="s">
        <v>16</v>
      </c>
      <c r="C6" s="11" t="s">
        <v>88</v>
      </c>
      <c r="D6" s="11" t="s">
        <v>81</v>
      </c>
      <c r="E6" s="11" t="s">
        <v>89</v>
      </c>
    </row>
    <row r="7">
      <c r="A7" s="12" t="s">
        <v>90</v>
      </c>
      <c r="B7" s="12" t="s">
        <v>91</v>
      </c>
      <c r="C7" s="12" t="s">
        <v>92</v>
      </c>
      <c r="D7" s="12" t="s">
        <v>85</v>
      </c>
      <c r="E7" s="12" t="s">
        <v>93</v>
      </c>
    </row>
    <row r="8">
      <c r="A8" s="12" t="s">
        <v>94</v>
      </c>
      <c r="B8" s="12" t="s">
        <v>91</v>
      </c>
      <c r="C8" s="12" t="s">
        <v>95</v>
      </c>
      <c r="D8" s="12" t="s">
        <v>96</v>
      </c>
      <c r="E8" s="12" t="s">
        <v>97</v>
      </c>
    </row>
    <row r="9">
      <c r="A9" s="12" t="s">
        <v>98</v>
      </c>
      <c r="B9" s="12" t="s">
        <v>91</v>
      </c>
      <c r="C9" s="12" t="s">
        <v>99</v>
      </c>
      <c r="D9" s="12" t="s">
        <v>81</v>
      </c>
      <c r="E9" s="12" t="s">
        <v>100</v>
      </c>
    </row>
    <row r="10">
      <c r="A10" s="12" t="s">
        <v>101</v>
      </c>
      <c r="B10" s="12" t="s">
        <v>91</v>
      </c>
      <c r="C10" s="12" t="s">
        <v>102</v>
      </c>
      <c r="D10" s="12" t="s">
        <v>103</v>
      </c>
      <c r="E10" s="12" t="s">
        <v>104</v>
      </c>
    </row>
    <row r="11">
      <c r="A11" s="12" t="s">
        <v>105</v>
      </c>
      <c r="B11" s="12" t="s">
        <v>91</v>
      </c>
      <c r="C11" s="12" t="s">
        <v>106</v>
      </c>
      <c r="D11" s="12" t="s">
        <v>96</v>
      </c>
      <c r="E11" s="12" t="s">
        <v>107</v>
      </c>
    </row>
    <row r="12">
      <c r="A12" s="13" t="s">
        <v>108</v>
      </c>
      <c r="B12" s="13" t="s">
        <v>109</v>
      </c>
      <c r="C12" s="13" t="s">
        <v>110</v>
      </c>
      <c r="D12" s="13" t="s">
        <v>111</v>
      </c>
      <c r="E12" s="13" t="s">
        <v>112</v>
      </c>
    </row>
    <row r="13">
      <c r="A13" s="13" t="s">
        <v>113</v>
      </c>
      <c r="B13" s="13" t="s">
        <v>109</v>
      </c>
      <c r="C13" s="13" t="s">
        <v>114</v>
      </c>
      <c r="D13" s="13" t="s">
        <v>115</v>
      </c>
      <c r="E13" s="13" t="s">
        <v>116</v>
      </c>
    </row>
    <row r="14">
      <c r="A14" s="12" t="s">
        <v>117</v>
      </c>
      <c r="B14" s="12" t="s">
        <v>91</v>
      </c>
      <c r="C14" s="12" t="s">
        <v>118</v>
      </c>
      <c r="D14" s="12" t="s">
        <v>85</v>
      </c>
      <c r="E14" s="12" t="s">
        <v>119</v>
      </c>
    </row>
    <row r="15">
      <c r="A15" s="12" t="s">
        <v>120</v>
      </c>
      <c r="B15" s="12" t="s">
        <v>91</v>
      </c>
      <c r="C15" s="12" t="s">
        <v>121</v>
      </c>
      <c r="D15" s="12" t="s">
        <v>122</v>
      </c>
      <c r="E15" s="12" t="s">
        <v>123</v>
      </c>
    </row>
    <row r="16">
      <c r="A16" s="11" t="s">
        <v>124</v>
      </c>
      <c r="B16" s="11" t="s">
        <v>16</v>
      </c>
      <c r="C16" s="11" t="s">
        <v>125</v>
      </c>
      <c r="D16" s="11" t="s">
        <v>115</v>
      </c>
      <c r="E16" s="11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0"/>
    <col customWidth="1" min="3" max="3" width="60.29"/>
    <col customWidth="1" min="4" max="4" width="28.29"/>
    <col customWidth="1" min="5" max="5" width="47.43"/>
    <col customWidth="1" min="6" max="26" width="8.71"/>
  </cols>
  <sheetData>
    <row r="1">
      <c r="A1" s="14" t="s">
        <v>127</v>
      </c>
      <c r="B1" s="2"/>
      <c r="C1" s="2"/>
      <c r="D1" s="2"/>
      <c r="E1" s="2"/>
      <c r="F1" s="3"/>
    </row>
    <row r="3" ht="22.5" customHeight="1">
      <c r="A3" s="15" t="s">
        <v>128</v>
      </c>
      <c r="B3" s="15" t="s">
        <v>129</v>
      </c>
      <c r="C3" s="15" t="s">
        <v>130</v>
      </c>
      <c r="D3" s="15" t="s">
        <v>5</v>
      </c>
      <c r="E3" s="15" t="s">
        <v>131</v>
      </c>
    </row>
    <row r="4" ht="22.5" customHeight="1">
      <c r="A4" s="16" t="s">
        <v>132</v>
      </c>
      <c r="B4" s="17" t="s">
        <v>133</v>
      </c>
      <c r="C4" s="17" t="s">
        <v>134</v>
      </c>
      <c r="D4" s="17" t="s">
        <v>81</v>
      </c>
      <c r="E4" s="17" t="s">
        <v>135</v>
      </c>
    </row>
    <row r="5" ht="22.5" customHeight="1">
      <c r="A5" s="13" t="s">
        <v>132</v>
      </c>
      <c r="B5" s="18" t="s">
        <v>136</v>
      </c>
      <c r="C5" s="18" t="s">
        <v>137</v>
      </c>
      <c r="D5" s="18" t="s">
        <v>85</v>
      </c>
      <c r="E5" s="18" t="s">
        <v>138</v>
      </c>
    </row>
    <row r="6" ht="22.5" customHeight="1">
      <c r="A6" s="13" t="s">
        <v>132</v>
      </c>
      <c r="B6" s="18" t="s">
        <v>139</v>
      </c>
      <c r="C6" s="18" t="s">
        <v>140</v>
      </c>
      <c r="D6" s="18" t="s">
        <v>81</v>
      </c>
      <c r="E6" s="18" t="s">
        <v>141</v>
      </c>
    </row>
    <row r="7" ht="22.5" customHeight="1">
      <c r="A7" s="13" t="s">
        <v>132</v>
      </c>
      <c r="B7" s="18" t="s">
        <v>142</v>
      </c>
      <c r="C7" s="18" t="s">
        <v>143</v>
      </c>
      <c r="D7" s="18" t="s">
        <v>144</v>
      </c>
      <c r="E7" s="18" t="s">
        <v>145</v>
      </c>
    </row>
    <row r="8" ht="22.5" customHeight="1">
      <c r="A8" s="13" t="s">
        <v>132</v>
      </c>
      <c r="B8" s="18" t="s">
        <v>146</v>
      </c>
      <c r="C8" s="18" t="s">
        <v>147</v>
      </c>
      <c r="D8" s="18" t="s">
        <v>148</v>
      </c>
      <c r="E8" s="18" t="s">
        <v>149</v>
      </c>
    </row>
    <row r="9" ht="22.5" customHeight="1">
      <c r="A9" s="13" t="s">
        <v>150</v>
      </c>
      <c r="B9" s="18" t="s">
        <v>151</v>
      </c>
      <c r="C9" s="18" t="s">
        <v>152</v>
      </c>
      <c r="D9" s="18" t="s">
        <v>153</v>
      </c>
      <c r="E9" s="18" t="s">
        <v>154</v>
      </c>
    </row>
    <row r="10" ht="22.5" customHeight="1">
      <c r="A10" s="13" t="s">
        <v>150</v>
      </c>
      <c r="B10" s="18" t="s">
        <v>155</v>
      </c>
      <c r="C10" s="18" t="s">
        <v>156</v>
      </c>
      <c r="D10" s="18" t="s">
        <v>96</v>
      </c>
      <c r="E10" s="18" t="s">
        <v>157</v>
      </c>
    </row>
    <row r="11" ht="22.5" customHeight="1">
      <c r="A11" s="16" t="s">
        <v>150</v>
      </c>
      <c r="B11" s="17" t="s">
        <v>158</v>
      </c>
      <c r="C11" s="17" t="s">
        <v>159</v>
      </c>
      <c r="D11" s="17" t="s">
        <v>160</v>
      </c>
      <c r="E11" s="17" t="s">
        <v>161</v>
      </c>
    </row>
    <row r="12" ht="22.5" customHeight="1">
      <c r="A12" s="13" t="s">
        <v>162</v>
      </c>
      <c r="B12" s="18" t="s">
        <v>163</v>
      </c>
      <c r="C12" s="18" t="s">
        <v>164</v>
      </c>
      <c r="D12" s="18" t="s">
        <v>20</v>
      </c>
      <c r="E12" s="18" t="s">
        <v>165</v>
      </c>
    </row>
    <row r="13" ht="22.5" customHeight="1">
      <c r="A13" s="13" t="s">
        <v>162</v>
      </c>
      <c r="B13" s="18" t="s">
        <v>166</v>
      </c>
      <c r="C13" s="18" t="s">
        <v>167</v>
      </c>
      <c r="D13" s="18" t="s">
        <v>168</v>
      </c>
      <c r="E13" s="18" t="s">
        <v>169</v>
      </c>
    </row>
    <row r="14" ht="22.5" customHeight="1">
      <c r="A14" s="13" t="s">
        <v>162</v>
      </c>
      <c r="B14" s="18" t="s">
        <v>170</v>
      </c>
      <c r="C14" s="18" t="s">
        <v>171</v>
      </c>
      <c r="D14" s="18" t="s">
        <v>85</v>
      </c>
      <c r="E14" s="18" t="s">
        <v>172</v>
      </c>
    </row>
    <row r="15" ht="22.5" customHeight="1">
      <c r="A15" s="16" t="s">
        <v>173</v>
      </c>
      <c r="B15" s="17" t="s">
        <v>174</v>
      </c>
      <c r="C15" s="17" t="s">
        <v>175</v>
      </c>
      <c r="D15" s="17" t="s">
        <v>42</v>
      </c>
      <c r="E15" s="17" t="s">
        <v>176</v>
      </c>
    </row>
    <row r="16" ht="22.5" customHeight="1">
      <c r="A16" s="13" t="s">
        <v>173</v>
      </c>
      <c r="B16" s="18" t="s">
        <v>177</v>
      </c>
      <c r="C16" s="18" t="s">
        <v>178</v>
      </c>
      <c r="D16" s="18" t="s">
        <v>179</v>
      </c>
      <c r="E16" s="18" t="s">
        <v>180</v>
      </c>
    </row>
    <row r="17" ht="22.5" customHeight="1">
      <c r="A17" s="13" t="s">
        <v>173</v>
      </c>
      <c r="B17" s="18" t="s">
        <v>181</v>
      </c>
      <c r="C17" s="18" t="s">
        <v>182</v>
      </c>
      <c r="D17" s="18" t="s">
        <v>183</v>
      </c>
      <c r="E17" s="18" t="s">
        <v>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ataValidations>
    <dataValidation type="list" allowBlank="1" showDropDown="1" showErrorMessage="1" sqref="A4:A17">
      <formula1>"Week 1
Apr 1-5,Week 2
Apr 8-12,Week 3
Apr 15-19,Week 4
Apr 22-26"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35.43"/>
    <col customWidth="1" min="3" max="3" width="18.43"/>
    <col customWidth="1" min="4" max="4" width="16.43"/>
    <col customWidth="1" min="5" max="5" width="21.14"/>
    <col customWidth="1" min="6" max="26" width="8.71"/>
  </cols>
  <sheetData>
    <row r="1">
      <c r="A1" s="19" t="s">
        <v>185</v>
      </c>
      <c r="B1" s="2"/>
      <c r="C1" s="2"/>
      <c r="D1" s="2"/>
      <c r="E1" s="2"/>
      <c r="F1" s="3"/>
    </row>
    <row r="3" ht="22.5" customHeight="1">
      <c r="A3" s="15" t="s">
        <v>186</v>
      </c>
      <c r="B3" s="15" t="s">
        <v>187</v>
      </c>
      <c r="C3" s="15" t="s">
        <v>188</v>
      </c>
      <c r="D3" s="15" t="s">
        <v>189</v>
      </c>
      <c r="E3" s="15" t="s">
        <v>190</v>
      </c>
    </row>
    <row r="4" ht="22.5" customHeight="1">
      <c r="A4" s="20" t="s">
        <v>191</v>
      </c>
      <c r="B4" s="20" t="s">
        <v>192</v>
      </c>
      <c r="C4" s="21">
        <v>180.0</v>
      </c>
      <c r="D4" s="21">
        <v>12.0</v>
      </c>
      <c r="E4" s="21">
        <v>15.0</v>
      </c>
    </row>
    <row r="5" ht="22.5" customHeight="1">
      <c r="A5" s="20" t="s">
        <v>191</v>
      </c>
      <c r="B5" s="20" t="s">
        <v>193</v>
      </c>
      <c r="C5" s="21">
        <v>108.0</v>
      </c>
      <c r="D5" s="21">
        <v>12.0</v>
      </c>
      <c r="E5" s="21">
        <v>9.0</v>
      </c>
    </row>
    <row r="6" ht="22.5" customHeight="1">
      <c r="A6" s="20" t="s">
        <v>191</v>
      </c>
      <c r="B6" s="20" t="s">
        <v>194</v>
      </c>
      <c r="C6" s="21">
        <v>48.0</v>
      </c>
      <c r="D6" s="21">
        <v>12.0</v>
      </c>
      <c r="E6" s="21">
        <v>4.0</v>
      </c>
    </row>
    <row r="7" ht="22.5" customHeight="1">
      <c r="A7" s="20" t="s">
        <v>191</v>
      </c>
      <c r="B7" s="20" t="s">
        <v>195</v>
      </c>
      <c r="C7" s="21">
        <v>48.0</v>
      </c>
      <c r="D7" s="21">
        <v>12.0</v>
      </c>
      <c r="E7" s="21">
        <v>4.0</v>
      </c>
    </row>
    <row r="8" ht="22.5" customHeight="1">
      <c r="A8" s="20" t="s">
        <v>191</v>
      </c>
      <c r="B8" s="20" t="s">
        <v>196</v>
      </c>
      <c r="C8" s="21">
        <v>60.0</v>
      </c>
      <c r="D8" s="21">
        <v>12.0</v>
      </c>
      <c r="E8" s="21">
        <v>5.0</v>
      </c>
    </row>
    <row r="9" ht="22.5" customHeight="1">
      <c r="A9" s="20" t="s">
        <v>191</v>
      </c>
      <c r="B9" s="20" t="s">
        <v>197</v>
      </c>
      <c r="C9" s="21">
        <v>48.0</v>
      </c>
      <c r="D9" s="21">
        <v>12.0</v>
      </c>
      <c r="E9" s="21">
        <v>4.0</v>
      </c>
    </row>
    <row r="10" ht="22.5" customHeight="1">
      <c r="A10" s="22" t="s">
        <v>198</v>
      </c>
      <c r="B10" s="22" t="s">
        <v>199</v>
      </c>
      <c r="C10" s="23">
        <v>120.0</v>
      </c>
      <c r="D10" s="23">
        <v>1.0</v>
      </c>
      <c r="E10" s="23">
        <v>10.0</v>
      </c>
    </row>
    <row r="11" ht="22.5" customHeight="1">
      <c r="A11" s="22" t="s">
        <v>198</v>
      </c>
      <c r="B11" s="22" t="s">
        <v>200</v>
      </c>
      <c r="C11" s="23">
        <v>48.0</v>
      </c>
      <c r="D11" s="23">
        <v>1.0</v>
      </c>
      <c r="E11" s="23">
        <v>4.0</v>
      </c>
    </row>
    <row r="12" ht="22.5" customHeight="1">
      <c r="A12" s="24" t="s">
        <v>201</v>
      </c>
      <c r="B12" s="24" t="s">
        <v>202</v>
      </c>
      <c r="C12" s="25">
        <v>120.0</v>
      </c>
      <c r="D12" s="25">
        <v>12.0</v>
      </c>
      <c r="E12" s="25">
        <v>10.0</v>
      </c>
    </row>
    <row r="13" ht="22.5" customHeight="1">
      <c r="A13" s="24" t="s">
        <v>201</v>
      </c>
      <c r="B13" s="24" t="s">
        <v>203</v>
      </c>
      <c r="C13" s="25">
        <v>24.0</v>
      </c>
      <c r="D13" s="25">
        <v>12.0</v>
      </c>
      <c r="E13" s="25">
        <v>2.0</v>
      </c>
    </row>
    <row r="14" ht="22.5" customHeight="1">
      <c r="A14" s="24" t="s">
        <v>204</v>
      </c>
      <c r="B14" s="24" t="s">
        <v>205</v>
      </c>
      <c r="C14" s="25">
        <v>48.0</v>
      </c>
      <c r="D14" s="25">
        <v>1.0</v>
      </c>
      <c r="E14" s="25">
        <v>4.0</v>
      </c>
    </row>
    <row r="15" ht="22.5" customHeight="1">
      <c r="A15" s="24" t="s">
        <v>204</v>
      </c>
      <c r="B15" s="24" t="s">
        <v>206</v>
      </c>
      <c r="C15" s="25">
        <v>24.0</v>
      </c>
      <c r="D15" s="25">
        <v>12.0</v>
      </c>
      <c r="E15" s="25">
        <v>2.0</v>
      </c>
    </row>
    <row r="16" ht="22.5" customHeight="1">
      <c r="A16" s="24" t="s">
        <v>204</v>
      </c>
      <c r="B16" s="24" t="s">
        <v>207</v>
      </c>
      <c r="C16" s="25">
        <v>18.0</v>
      </c>
      <c r="D16" s="25">
        <v>12.0</v>
      </c>
      <c r="E16" s="25">
        <v>1.5</v>
      </c>
    </row>
    <row r="17" ht="22.5" customHeight="1">
      <c r="A17" s="24" t="s">
        <v>204</v>
      </c>
      <c r="B17" s="24" t="s">
        <v>208</v>
      </c>
      <c r="C17" s="25">
        <v>42.0</v>
      </c>
      <c r="D17" s="25">
        <v>12.0</v>
      </c>
      <c r="E17" s="25">
        <v>3.5</v>
      </c>
    </row>
    <row r="18" ht="22.5" customHeight="1">
      <c r="A18" s="24" t="s">
        <v>209</v>
      </c>
      <c r="B18" s="24" t="s">
        <v>210</v>
      </c>
      <c r="C18" s="25">
        <v>36.0</v>
      </c>
      <c r="D18" s="25">
        <v>12.0</v>
      </c>
      <c r="E18" s="25">
        <v>3.0</v>
      </c>
    </row>
    <row r="19" ht="22.5" customHeight="1">
      <c r="A19" s="24" t="s">
        <v>209</v>
      </c>
      <c r="B19" s="24" t="s">
        <v>211</v>
      </c>
      <c r="C19" s="25">
        <v>24.0</v>
      </c>
      <c r="D19" s="25">
        <v>12.0</v>
      </c>
      <c r="E19" s="25">
        <v>2.0</v>
      </c>
    </row>
    <row r="20" ht="22.5" customHeight="1">
      <c r="A20" s="24" t="s">
        <v>209</v>
      </c>
      <c r="B20" s="24" t="s">
        <v>212</v>
      </c>
      <c r="C20" s="25">
        <v>12.0</v>
      </c>
      <c r="D20" s="25">
        <v>12.0</v>
      </c>
      <c r="E20" s="25">
        <v>1.0</v>
      </c>
    </row>
    <row r="21" ht="15.75" customHeight="1">
      <c r="A21" s="24" t="s">
        <v>213</v>
      </c>
      <c r="B21" s="24" t="s">
        <v>214</v>
      </c>
      <c r="C21" s="25">
        <v>60.0</v>
      </c>
      <c r="D21" s="25">
        <v>1.0</v>
      </c>
      <c r="E21" s="25">
        <v>5.0</v>
      </c>
    </row>
    <row r="22" ht="15.75" customHeight="1">
      <c r="A22" s="24" t="s">
        <v>213</v>
      </c>
      <c r="B22" s="24" t="s">
        <v>215</v>
      </c>
      <c r="C22" s="25">
        <v>30.0</v>
      </c>
      <c r="D22" s="25">
        <v>1.0</v>
      </c>
      <c r="E22" s="25">
        <v>2.5</v>
      </c>
    </row>
    <row r="23" ht="15.75" customHeight="1">
      <c r="A23" s="24" t="s">
        <v>216</v>
      </c>
      <c r="B23" s="24" t="s">
        <v>217</v>
      </c>
      <c r="C23" s="25">
        <v>36.0</v>
      </c>
      <c r="D23" s="25">
        <v>1.0</v>
      </c>
      <c r="E23" s="25">
        <v>3.0</v>
      </c>
    </row>
    <row r="24" ht="15.75" customHeight="1">
      <c r="A24" s="24" t="s">
        <v>218</v>
      </c>
      <c r="B24" s="24" t="s">
        <v>219</v>
      </c>
      <c r="C24" s="25">
        <v>118.0</v>
      </c>
      <c r="D24" s="25">
        <v>1.0</v>
      </c>
      <c r="E24" s="25">
        <v>10.0</v>
      </c>
    </row>
    <row r="25" ht="15.75" customHeight="1"/>
    <row r="26" ht="15.75" customHeight="1">
      <c r="A26" s="26" t="s">
        <v>220</v>
      </c>
      <c r="B26" s="3"/>
      <c r="C26" s="27">
        <v>1252.0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6:B26"/>
  </mergeCells>
  <dataValidations>
    <dataValidation type="custom" allowBlank="1" showDropDown="1" sqref="C4:E24">
      <formula1>AND(ISNUMBER(C4),(NOT(OR(NOT(ISERROR(DATEVALUE(C4))), AND(ISNUMBER(C4), LEFT(CELL("format", C4))="D")))))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